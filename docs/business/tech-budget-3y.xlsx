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ملخّص" sheetId="1" state="visible" r:id="rId1"/>
    <sheet name="الفرضيات" sheetId="2" state="visible" r:id="rId2"/>
    <sheet name="البنية التحتية" sheetId="3" state="visible" r:id="rId3"/>
    <sheet name="الذكاء الاصطناعي" sheetId="4" state="visible" r:id="rId4"/>
    <sheet name="الفريق التقني" sheetId="5" state="visible" r:id="rId5"/>
    <sheet name="الأمن والأدوات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&quot; ر.س&quot;"/>
  </numFmts>
  <fonts count="8">
    <font>
      <name val="Calibri"/>
      <family val="2"/>
      <color theme="1"/>
      <sz val="11"/>
      <scheme val="minor"/>
    </font>
    <font>
      <name val="Calibri"/>
      <b val="1"/>
      <color rgb="005B2C87"/>
      <sz val="14"/>
    </font>
    <font>
      <name val="Calibri"/>
      <b val="1"/>
      <color rgb="00FFFFFF"/>
      <sz val="11"/>
    </font>
    <font>
      <name val="Calibri"/>
      <sz val="11"/>
    </font>
    <font>
      <i val="1"/>
      <color rgb="007A7185"/>
      <sz val="10"/>
    </font>
    <font>
      <name val="Calibri"/>
      <b val="1"/>
      <sz val="11"/>
    </font>
    <font>
      <b val="1"/>
      <color rgb="005B2C87"/>
      <sz val="12"/>
    </font>
    <font>
      <b val="1"/>
      <color rgb="00A8792F"/>
      <sz val="12"/>
    </font>
  </fonts>
  <fills count="5">
    <fill>
      <patternFill/>
    </fill>
    <fill>
      <patternFill patternType="gray125"/>
    </fill>
    <fill>
      <patternFill patternType="solid">
        <fgColor rgb="005B2C87"/>
      </patternFill>
    </fill>
    <fill>
      <patternFill patternType="solid">
        <fgColor rgb="00FFF7E0"/>
      </patternFill>
    </fill>
    <fill>
      <patternFill patternType="solid">
        <fgColor rgb="00F1EAF7"/>
      </patternFill>
    </fill>
  </fills>
  <borders count="2">
    <border>
      <left/>
      <right/>
      <top/>
      <bottom/>
      <diagonal/>
    </border>
    <border>
      <left style="thin">
        <color rgb="00D8D0E2"/>
      </left>
      <right style="thin">
        <color rgb="00D8D0E2"/>
      </right>
      <top style="thin">
        <color rgb="00D8D0E2"/>
      </top>
      <bottom style="thin">
        <color rgb="00D8D0E2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right"/>
    </xf>
    <xf numFmtId="3" fontId="3" fillId="0" borderId="1" applyAlignment="1" pivotButton="0" quotePrefix="0" xfId="0">
      <alignment horizontal="left"/>
    </xf>
    <xf numFmtId="0" fontId="6" fillId="4" borderId="1" applyAlignment="1" pivotButton="0" quotePrefix="0" xfId="0">
      <alignment horizontal="right"/>
    </xf>
    <xf numFmtId="3" fontId="6" fillId="4" borderId="1" applyAlignment="1" pivotButton="0" quotePrefix="0" xfId="0">
      <alignment horizontal="left"/>
    </xf>
    <xf numFmtId="0" fontId="7" fillId="0" borderId="0" pivotButton="0" quotePrefix="0" xfId="0"/>
    <xf numFmtId="0" fontId="5" fillId="0" borderId="1" applyAlignment="1" pivotButton="0" quotePrefix="0" xfId="0">
      <alignment horizontal="right"/>
    </xf>
    <xf numFmtId="164" fontId="7" fillId="0" borderId="1" applyAlignment="1" pivotButton="0" quotePrefix="0" xfId="0">
      <alignment horizontal="left"/>
    </xf>
    <xf numFmtId="3" fontId="5" fillId="0" borderId="1" applyAlignment="1" pivotButton="0" quotePrefix="0" xfId="0">
      <alignment horizontal="left"/>
    </xf>
    <xf numFmtId="9" fontId="0" fillId="3" borderId="1" pivotButton="0" quotePrefix="0" xfId="0"/>
    <xf numFmtId="0" fontId="4" fillId="0" borderId="0" pivotButton="0" quotePrefix="0" xfId="0"/>
    <xf numFmtId="0" fontId="3" fillId="3" borderId="1" applyAlignment="1" pivotButton="0" quotePrefix="0" xfId="0">
      <alignment horizontal="right"/>
    </xf>
    <xf numFmtId="3" fontId="3" fillId="3" borderId="1" applyAlignment="1" pivotButton="0" quotePrefix="0" xfId="0">
      <alignment horizontal="left"/>
    </xf>
    <xf numFmtId="0" fontId="5" fillId="4" borderId="1" applyAlignment="1" pivotButton="0" quotePrefix="0" xfId="0">
      <alignment horizontal="right"/>
    </xf>
    <xf numFmtId="3" fontId="5" fillId="4" borderId="1" applyAlignment="1" pivotButton="0" quotePrefix="0" xfId="0">
      <alignment horizontal="left"/>
    </xf>
    <xf numFmtId="0" fontId="3" fillId="0" borderId="0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0" rightToLeft="1"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17" customWidth="1" min="3" max="3"/>
    <col width="17" customWidth="1" min="4" max="4"/>
    <col width="19" customWidth="1" min="5" max="5"/>
  </cols>
  <sheetData>
    <row r="1" ht="26" customHeight="1">
      <c r="A1" s="1" t="inlineStr">
        <is>
          <t>الملخّص التنفيذي — التكلفة التشغيلية التقنية (ريال)</t>
        </is>
      </c>
    </row>
    <row r="3" ht="22" customHeight="1">
      <c r="A3" s="2" t="inlineStr">
        <is>
          <t>البند</t>
        </is>
      </c>
      <c r="B3" s="2" t="inlineStr">
        <is>
          <t>السنة 1</t>
        </is>
      </c>
      <c r="C3" s="2" t="inlineStr">
        <is>
          <t>السنة 2</t>
        </is>
      </c>
      <c r="D3" s="2" t="inlineStr">
        <is>
          <t>السنة 3</t>
        </is>
      </c>
      <c r="E3" s="2" t="inlineStr">
        <is>
          <t>الإجمالي</t>
        </is>
      </c>
    </row>
    <row r="4">
      <c r="A4" s="3" t="inlineStr">
        <is>
          <t>البنية التحتية</t>
        </is>
      </c>
      <c r="B4" s="4">
        <f>'البنية التحتية'!B12</f>
        <v/>
      </c>
      <c r="C4" s="4">
        <f>'البنية التحتية'!C12</f>
        <v/>
      </c>
      <c r="D4" s="4">
        <f>'البنية التحتية'!D12</f>
        <v/>
      </c>
      <c r="E4" s="4">
        <f>SUM(B4:D4)</f>
        <v/>
      </c>
    </row>
    <row r="5">
      <c r="A5" s="3" t="inlineStr">
        <is>
          <t>الذكاء الاصطناعي</t>
        </is>
      </c>
      <c r="B5" s="4">
        <f>'الذكاء الاصطناعي'!B8</f>
        <v/>
      </c>
      <c r="C5" s="4">
        <f>'الذكاء الاصطناعي'!C8</f>
        <v/>
      </c>
      <c r="D5" s="4">
        <f>'الذكاء الاصطناعي'!D8</f>
        <v/>
      </c>
      <c r="E5" s="4">
        <f>SUM(B5:D5)</f>
        <v/>
      </c>
    </row>
    <row r="6">
      <c r="A6" s="3" t="inlineStr">
        <is>
          <t>الفريق التقني</t>
        </is>
      </c>
      <c r="B6" s="4">
        <f>'الفريق التقني'!D8</f>
        <v/>
      </c>
      <c r="C6" s="4">
        <f>'الفريق التقني'!E8</f>
        <v/>
      </c>
      <c r="D6" s="4">
        <f>'الفريق التقني'!F8</f>
        <v/>
      </c>
      <c r="E6" s="4">
        <f>SUM(B6:D6)</f>
        <v/>
      </c>
    </row>
    <row r="7">
      <c r="A7" s="3" t="inlineStr">
        <is>
          <t>الأمن والأدوات</t>
        </is>
      </c>
      <c r="B7" s="4">
        <f>'الأمن والأدوات'!B8</f>
        <v/>
      </c>
      <c r="C7" s="4">
        <f>'الأمن والأدوات'!C8</f>
        <v/>
      </c>
      <c r="D7" s="4">
        <f>'الأمن والأدوات'!D8</f>
        <v/>
      </c>
      <c r="E7" s="4">
        <f>SUM(B7:D7)</f>
        <v/>
      </c>
    </row>
    <row r="8">
      <c r="A8" s="3" t="inlineStr">
        <is>
          <t>احتياطي طوارئ 10٪</t>
        </is>
      </c>
      <c r="B8" s="4">
        <f>SUM(B4:B7)*$B$16</f>
        <v/>
      </c>
      <c r="C8" s="4">
        <f>SUM(C4:C7)*$B$16</f>
        <v/>
      </c>
      <c r="D8" s="4">
        <f>SUM(D4:D7)*$B$16</f>
        <v/>
      </c>
      <c r="E8" s="4">
        <f>SUM(B8:D8)</f>
        <v/>
      </c>
    </row>
    <row r="9">
      <c r="A9" s="5" t="inlineStr">
        <is>
          <t>الإجمالي النهائي</t>
        </is>
      </c>
      <c r="B9" s="6">
        <f>SUM(B4:B8)</f>
        <v/>
      </c>
      <c r="C9" s="6">
        <f>SUM(C4:C8)</f>
        <v/>
      </c>
      <c r="D9" s="6">
        <f>SUM(D4:D8)</f>
        <v/>
      </c>
      <c r="E9" s="6">
        <f>SUM(B9:D9)</f>
        <v/>
      </c>
    </row>
    <row r="11">
      <c r="A11" s="7" t="inlineStr">
        <is>
          <t>الأطروحة الاستثمارية</t>
        </is>
      </c>
    </row>
    <row r="12" ht="22" customHeight="1">
      <c r="A12" s="2" t="inlineStr">
        <is>
          <t>المؤشّر</t>
        </is>
      </c>
      <c r="B12" s="2" t="inlineStr">
        <is>
          <t>السنة 1</t>
        </is>
      </c>
      <c r="C12" s="2" t="inlineStr">
        <is>
          <t>السنة 2</t>
        </is>
      </c>
      <c r="D12" s="2" t="inlineStr">
        <is>
          <t>السنة 3</t>
        </is>
      </c>
      <c r="E12" s="2" t="inlineStr"/>
    </row>
    <row r="13">
      <c r="A13" s="3" t="inlineStr">
        <is>
          <t>الرحلات سنويًّا</t>
        </is>
      </c>
      <c r="B13" s="4">
        <f>الفرضيات!B7</f>
        <v/>
      </c>
      <c r="C13" s="4">
        <f>الفرضيات!C7</f>
        <v/>
      </c>
      <c r="D13" s="4">
        <f>الفرضيات!D7</f>
        <v/>
      </c>
      <c r="E13" s="4" t="inlineStr"/>
    </row>
    <row r="14">
      <c r="A14" s="8" t="inlineStr">
        <is>
          <t>التكلفة التقنية لكل رحلة</t>
        </is>
      </c>
      <c r="B14" s="9">
        <f>B9/B13</f>
        <v/>
      </c>
      <c r="C14" s="9">
        <f>C9/C13</f>
        <v/>
      </c>
      <c r="D14" s="9">
        <f>D9/D13</f>
        <v/>
      </c>
      <c r="E14" s="10" t="inlineStr"/>
    </row>
    <row r="16">
      <c r="A16" t="inlineStr">
        <is>
          <t>نسبة احتياطي الطوارئ</t>
        </is>
      </c>
      <c r="B16" s="11" t="n">
        <v>0.1</v>
      </c>
    </row>
    <row r="18">
      <c r="A18" s="12" t="inlineStr">
        <is>
          <t>بنود خارج هذه الوثيقة: رسوم بوّابة الدفع · ترخيص هيئة النقل · التسويق واكتساب المستخدمات · حوافز السائقات · المقرّ والإداريّون.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rightToLeft="1"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18" customWidth="1" min="4" max="4"/>
  </cols>
  <sheetData>
    <row r="1" ht="26" customHeight="1">
      <c r="A1" s="1" t="inlineStr">
        <is>
          <t>فرضيات النموّ — عدّل هنا وتتحدّث كل الأوراق</t>
        </is>
      </c>
    </row>
    <row r="3" ht="22" customHeight="1">
      <c r="A3" s="2" t="inlineStr">
        <is>
          <t>المؤشّر</t>
        </is>
      </c>
      <c r="B3" s="2" t="inlineStr">
        <is>
          <t>السنة 1</t>
        </is>
      </c>
      <c r="C3" s="2" t="inlineStr">
        <is>
          <t>السنة 2</t>
        </is>
      </c>
      <c r="D3" s="2" t="inlineStr">
        <is>
          <t>السنة 3</t>
        </is>
      </c>
    </row>
    <row r="4">
      <c r="A4" s="13" t="inlineStr">
        <is>
          <t>المدن المغطّاة</t>
        </is>
      </c>
      <c r="B4" s="14" t="n">
        <v>1</v>
      </c>
      <c r="C4" s="14" t="n">
        <v>3</v>
      </c>
      <c r="D4" s="14" t="n">
        <v>6</v>
      </c>
    </row>
    <row r="5">
      <c r="A5" s="13" t="inlineStr">
        <is>
          <t>مستخدمات نشطات شهريًّا</t>
        </is>
      </c>
      <c r="B5" s="14" t="n">
        <v>5000</v>
      </c>
      <c r="C5" s="14" t="n">
        <v>35000</v>
      </c>
      <c r="D5" s="14" t="n">
        <v>120000</v>
      </c>
    </row>
    <row r="6">
      <c r="A6" s="13" t="inlineStr">
        <is>
          <t>سائقات نشطات</t>
        </is>
      </c>
      <c r="B6" s="14" t="n">
        <v>150</v>
      </c>
      <c r="C6" s="14" t="n">
        <v>1200</v>
      </c>
      <c r="D6" s="14" t="n">
        <v>4000</v>
      </c>
    </row>
    <row r="7">
      <c r="A7" s="13" t="inlineStr">
        <is>
          <t>الرحلات سنويًّا</t>
        </is>
      </c>
      <c r="B7" s="14" t="n">
        <v>30000</v>
      </c>
      <c r="C7" s="14" t="n">
        <v>300000</v>
      </c>
      <c r="D7" s="14" t="n">
        <v>1000000</v>
      </c>
    </row>
    <row r="9">
      <c r="A9" s="12" t="inlineStr">
        <is>
          <t>الخلايا الذهبية = مدخلات قابلة للتعديل. الباقي في الأوراق الأخرى محسوب بصيغ.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rightToLeft="1" workbookViewId="0">
      <selection activeCell="A1" sqref="A1"/>
    </sheetView>
  </sheetViews>
  <sheetFormatPr baseColWidth="8" defaultRowHeight="15"/>
  <cols>
    <col width="46" customWidth="1" min="1" max="1"/>
    <col width="16" customWidth="1" min="2" max="2"/>
    <col width="16" customWidth="1" min="3" max="3"/>
    <col width="16" customWidth="1" min="4" max="4"/>
  </cols>
  <sheetData>
    <row r="1" ht="26" customHeight="1">
      <c r="A1" s="1" t="inlineStr">
        <is>
          <t>البنية التحتية والخدمات السحابية (ريال)</t>
        </is>
      </c>
    </row>
    <row r="3" ht="22" customHeight="1">
      <c r="A3" s="2" t="inlineStr">
        <is>
          <t>الخدمة</t>
        </is>
      </c>
      <c r="B3" s="2" t="inlineStr">
        <is>
          <t>السنة 1</t>
        </is>
      </c>
      <c r="C3" s="2" t="inlineStr">
        <is>
          <t>السنة 2</t>
        </is>
      </c>
      <c r="D3" s="2" t="inlineStr">
        <is>
          <t>السنة 3</t>
        </is>
      </c>
    </row>
    <row r="4">
      <c r="A4" s="13" t="inlineStr">
        <is>
          <t>Supabase — قاعدة البيانات والمصادقة والتخزين</t>
        </is>
      </c>
      <c r="B4" s="14" t="n">
        <v>2250</v>
      </c>
      <c r="C4" s="14" t="n">
        <v>11250</v>
      </c>
      <c r="D4" s="14" t="n">
        <v>34000</v>
      </c>
    </row>
    <row r="5">
      <c r="A5" s="13" t="inlineStr">
        <is>
          <t>Vercel — لوحة الإدارة وصفحة الهبوط</t>
        </is>
      </c>
      <c r="B5" s="14" t="n">
        <v>900</v>
      </c>
      <c r="C5" s="14" t="n">
        <v>2250</v>
      </c>
      <c r="D5" s="14" t="n">
        <v>4500</v>
      </c>
    </row>
    <row r="6">
      <c r="A6" s="13" t="inlineStr">
        <is>
          <t>Mapbox — الخرائط وحساب المسارات</t>
        </is>
      </c>
      <c r="B6" s="14" t="n">
        <v>5600</v>
      </c>
      <c r="C6" s="14" t="n">
        <v>45000</v>
      </c>
      <c r="D6" s="14" t="n">
        <v>135000</v>
      </c>
    </row>
    <row r="7">
      <c r="A7" s="13" t="inlineStr">
        <is>
          <t>Expo EAS — البناء والتحديث الفوري</t>
        </is>
      </c>
      <c r="B7" s="14" t="n">
        <v>4500</v>
      </c>
      <c r="C7" s="14" t="n">
        <v>4500</v>
      </c>
      <c r="D7" s="14" t="n">
        <v>9000</v>
      </c>
    </row>
    <row r="8">
      <c r="A8" s="13" t="inlineStr">
        <is>
          <t>رسائل التحقّق (~0.15 ريال/رسالة)</t>
        </is>
      </c>
      <c r="B8" s="14" t="n">
        <v>3000</v>
      </c>
      <c r="C8" s="14" t="n">
        <v>22500</v>
      </c>
      <c r="D8" s="14" t="n">
        <v>75000</v>
      </c>
    </row>
    <row r="9">
      <c r="A9" s="13" t="inlineStr">
        <is>
          <t>المراقبة وتتبّع الأعطال</t>
        </is>
      </c>
      <c r="B9" s="14" t="n">
        <v>1200</v>
      </c>
      <c r="C9" s="14" t="n">
        <v>2500</v>
      </c>
      <c r="D9" s="14" t="n">
        <v>5000</v>
      </c>
    </row>
    <row r="10">
      <c r="A10" s="13" t="inlineStr">
        <is>
          <t>متاجر التطبيقات والنطاق</t>
        </is>
      </c>
      <c r="B10" s="14" t="n">
        <v>700</v>
      </c>
      <c r="C10" s="14" t="n">
        <v>500</v>
      </c>
      <c r="D10" s="14" t="n">
        <v>500</v>
      </c>
    </row>
    <row r="11">
      <c r="A11" s="13" t="inlineStr">
        <is>
          <t>النسخ الاحتياطي والتعافي</t>
        </is>
      </c>
      <c r="B11" s="14" t="n">
        <v>2000</v>
      </c>
      <c r="C11" s="14" t="n">
        <v>5000</v>
      </c>
      <c r="D11" s="14" t="n">
        <v>10000</v>
      </c>
    </row>
    <row r="12">
      <c r="A12" s="15" t="inlineStr">
        <is>
          <t>الإجمالي</t>
        </is>
      </c>
      <c r="B12" s="16">
        <f>SUM(B4:B11)</f>
        <v/>
      </c>
      <c r="C12" s="16">
        <f>SUM(C4:C11)</f>
        <v/>
      </c>
      <c r="D12" s="16">
        <f>SUM(D4:D11)</f>
        <v/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rightToLeft="1" workbookViewId="0">
      <selection activeCell="A1" sqref="A1"/>
    </sheetView>
  </sheetViews>
  <sheetFormatPr baseColWidth="8" defaultRowHeight="15"/>
  <cols>
    <col width="46" customWidth="1" min="1" max="1"/>
    <col width="16" customWidth="1" min="2" max="2"/>
    <col width="16" customWidth="1" min="3" max="3"/>
    <col width="16" customWidth="1" min="4" max="4"/>
  </cols>
  <sheetData>
    <row r="1" ht="26" customHeight="1">
      <c r="A1" s="1" t="inlineStr">
        <is>
          <t>الذكاء الاصطناعي (ريال)</t>
        </is>
      </c>
    </row>
    <row r="3" ht="22" customHeight="1">
      <c r="A3" s="2" t="inlineStr">
        <is>
          <t>البند</t>
        </is>
      </c>
      <c r="B3" s="2" t="inlineStr">
        <is>
          <t>السنة 1</t>
        </is>
      </c>
      <c r="C3" s="2" t="inlineStr">
        <is>
          <t>السنة 2</t>
        </is>
      </c>
      <c r="D3" s="2" t="inlineStr">
        <is>
          <t>السنة 3</t>
        </is>
      </c>
    </row>
    <row r="4">
      <c r="A4" s="13" t="inlineStr">
        <is>
          <t>استدعاءات النماذج اللغوية — مخطّط الرحلات والدعم</t>
        </is>
      </c>
      <c r="B4" s="14" t="n">
        <v>2250</v>
      </c>
      <c r="C4" s="14" t="n">
        <v>15000</v>
      </c>
      <c r="D4" s="14" t="n">
        <v>45000</v>
      </c>
    </row>
    <row r="5">
      <c r="A5" s="13" t="inlineStr">
        <is>
          <t>تدريب نموذج خاص (ضبط دقيق)</t>
        </is>
      </c>
      <c r="B5" s="14" t="n">
        <v>0</v>
      </c>
      <c r="C5" s="14" t="n">
        <v>56000</v>
      </c>
      <c r="D5" s="14" t="n">
        <v>112000</v>
      </c>
    </row>
    <row r="6">
      <c r="A6" s="13" t="inlineStr">
        <is>
          <t>وسم البيانات وإعدادها</t>
        </is>
      </c>
      <c r="B6" s="14" t="n">
        <v>0</v>
      </c>
      <c r="C6" s="14" t="n">
        <v>20000</v>
      </c>
      <c r="D6" s="14" t="n">
        <v>35000</v>
      </c>
    </row>
    <row r="7">
      <c r="A7" s="13" t="inlineStr">
        <is>
          <t>نماذج التنبّؤ — الطلب والتسعير والمطابقة</t>
        </is>
      </c>
      <c r="B7" s="14" t="n">
        <v>0</v>
      </c>
      <c r="C7" s="14" t="n">
        <v>25000</v>
      </c>
      <c r="D7" s="14" t="n">
        <v>55000</v>
      </c>
    </row>
    <row r="8">
      <c r="A8" s="15" t="inlineStr">
        <is>
          <t>الإجمالي</t>
        </is>
      </c>
      <c r="B8" s="16">
        <f>SUM(B4:B7)</f>
        <v/>
      </c>
      <c r="C8" s="16">
        <f>SUM(C4:C7)</f>
        <v/>
      </c>
      <c r="D8" s="16">
        <f>SUM(D4:D7)</f>
        <v/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rightToLeft="1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17" customWidth="1" min="4" max="4"/>
    <col width="17" customWidth="1" min="5" max="5"/>
    <col width="17" customWidth="1" min="6" max="6"/>
  </cols>
  <sheetData>
    <row r="1" ht="26" customHeight="1">
      <c r="A1" s="1" t="inlineStr">
        <is>
          <t>الفريق التقني — الراتب × 12 × العدد × أعباء التوظيف</t>
        </is>
      </c>
    </row>
    <row r="3" ht="22" customHeight="1">
      <c r="A3" s="2" t="inlineStr">
        <is>
          <t>الدور</t>
        </is>
      </c>
      <c r="B3" s="2" t="inlineStr">
        <is>
          <t>الراتب/شهر</t>
        </is>
      </c>
      <c r="C3" s="2" t="inlineStr">
        <is>
          <t>العدد</t>
        </is>
      </c>
      <c r="D3" s="2" t="inlineStr">
        <is>
          <t>تكلفة س1</t>
        </is>
      </c>
      <c r="E3" s="2" t="inlineStr">
        <is>
          <t>تكلفة س2</t>
        </is>
      </c>
      <c r="F3" s="2" t="inlineStr">
        <is>
          <t>تكلفة س3</t>
        </is>
      </c>
    </row>
    <row r="4">
      <c r="A4" s="13" t="inlineStr">
        <is>
          <t>قائد تقني (CTO)</t>
        </is>
      </c>
      <c r="B4" s="14" t="n">
        <v>18000</v>
      </c>
      <c r="C4" s="14" t="n">
        <v>1</v>
      </c>
      <c r="D4" s="4">
        <f>$B4*12*$C4*$B$11</f>
        <v/>
      </c>
      <c r="E4" s="4">
        <f>D4*(1+$B$12)</f>
        <v/>
      </c>
      <c r="F4" s="4">
        <f>E4*(1+$B$12)</f>
        <v/>
      </c>
    </row>
    <row r="5">
      <c r="A5" s="13" t="inlineStr">
        <is>
          <t>مطوّر تقني (Full-stack)</t>
        </is>
      </c>
      <c r="B5" s="14" t="n">
        <v>13000</v>
      </c>
      <c r="C5" s="14" t="n">
        <v>1</v>
      </c>
      <c r="D5" s="4">
        <f>$B5*12*$C5*$B$11</f>
        <v/>
      </c>
      <c r="E5" s="4">
        <f>D5*(1+$B$12)</f>
        <v/>
      </c>
      <c r="F5" s="4">
        <f>E5*(1+$B$12)</f>
        <v/>
      </c>
    </row>
    <row r="6">
      <c r="A6" s="13" t="inlineStr">
        <is>
          <t>مطوّر تقني مساعد</t>
        </is>
      </c>
      <c r="B6" s="14" t="n">
        <v>8000</v>
      </c>
      <c r="C6" s="14" t="n">
        <v>2</v>
      </c>
      <c r="D6" s="4">
        <f>$B6*12*$C6*$B$11</f>
        <v/>
      </c>
      <c r="E6" s="4">
        <f>D6*(1+$B$12)</f>
        <v/>
      </c>
      <c r="F6" s="4">
        <f>E6*(1+$B$12)</f>
        <v/>
      </c>
    </row>
    <row r="7">
      <c r="A7" s="13" t="inlineStr">
        <is>
          <t>دعم فنّي</t>
        </is>
      </c>
      <c r="B7" s="14" t="n">
        <v>6000</v>
      </c>
      <c r="C7" s="14" t="n">
        <v>4</v>
      </c>
      <c r="D7" s="4">
        <f>$B7*12*$C7*$B$11</f>
        <v/>
      </c>
      <c r="E7" s="4">
        <f>D7*(1+$B$12)</f>
        <v/>
      </c>
      <c r="F7" s="4">
        <f>E7*(1+$B$12)</f>
        <v/>
      </c>
    </row>
    <row r="8">
      <c r="A8" s="15" t="inlineStr">
        <is>
          <t>الإجمالي</t>
        </is>
      </c>
      <c r="B8" s="16" t="inlineStr"/>
      <c r="C8" s="16">
        <f>SUM(C4:C7)</f>
        <v/>
      </c>
      <c r="D8" s="16">
        <f>SUM(D4:D7)</f>
        <v/>
      </c>
      <c r="E8" s="16">
        <f>SUM(E4:E7)</f>
        <v/>
      </c>
      <c r="F8" s="16">
        <f>SUM(F4:F7)</f>
        <v/>
      </c>
    </row>
    <row r="11">
      <c r="A11" s="17" t="inlineStr">
        <is>
          <t>معامل أعباء التوظيف</t>
        </is>
      </c>
      <c r="B11" s="18" t="n">
        <v>1.2</v>
      </c>
    </row>
    <row r="12">
      <c r="A12" s="17" t="inlineStr">
        <is>
          <t>الزيادة السنوية</t>
        </is>
      </c>
      <c r="B12" s="11" t="n">
        <v>0.07000000000000001</v>
      </c>
    </row>
    <row r="14">
      <c r="A14" s="12" t="inlineStr">
        <is>
          <t>فريق ثابت عبر السنوات الثلاث — دور واحد لكل تخصّص جوهري. ممكن لأنّ البنية تعتمد خدمات سحابية مُدارة، فلا حاجة لفريق تشغيل خوادم.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rightToLeft="1" workbookViewId="0">
      <selection activeCell="A1" sqref="A1"/>
    </sheetView>
  </sheetViews>
  <sheetFormatPr baseColWidth="8" defaultRowHeight="15"/>
  <cols>
    <col width="46" customWidth="1" min="1" max="1"/>
    <col width="16" customWidth="1" min="2" max="2"/>
    <col width="16" customWidth="1" min="3" max="3"/>
    <col width="16" customWidth="1" min="4" max="4"/>
  </cols>
  <sheetData>
    <row r="1" ht="26" customHeight="1">
      <c r="A1" s="1" t="inlineStr">
        <is>
          <t>الأمن والامتثال والأدوات (ريال)</t>
        </is>
      </c>
    </row>
    <row r="3" ht="22" customHeight="1">
      <c r="A3" s="2" t="inlineStr">
        <is>
          <t>البند</t>
        </is>
      </c>
      <c r="B3" s="2" t="inlineStr">
        <is>
          <t>السنة 1</t>
        </is>
      </c>
      <c r="C3" s="2" t="inlineStr">
        <is>
          <t>السنة 2</t>
        </is>
      </c>
      <c r="D3" s="2" t="inlineStr">
        <is>
          <t>السنة 3</t>
        </is>
      </c>
    </row>
    <row r="4">
      <c r="A4" s="13" t="inlineStr">
        <is>
          <t>اختبار اختراق ومراجعة أمنية</t>
        </is>
      </c>
      <c r="B4" s="14" t="n">
        <v>30000</v>
      </c>
      <c r="C4" s="14" t="n">
        <v>30000</v>
      </c>
      <c r="D4" s="14" t="n">
        <v>45000</v>
      </c>
    </row>
    <row r="5">
      <c r="A5" s="13" t="inlineStr">
        <is>
          <t>الامتثال لنظام حماية البيانات الشخصية</t>
        </is>
      </c>
      <c r="B5" s="14" t="n">
        <v>25000</v>
      </c>
      <c r="C5" s="14" t="n">
        <v>15000</v>
      </c>
      <c r="D5" s="14" t="n">
        <v>20000</v>
      </c>
    </row>
    <row r="6">
      <c r="A6" s="13" t="inlineStr">
        <is>
          <t>تراخيص الأدوات وبيئة العمل</t>
        </is>
      </c>
      <c r="B6" s="14" t="n">
        <v>15000</v>
      </c>
      <c r="C6" s="14" t="n">
        <v>35000</v>
      </c>
      <c r="D6" s="14" t="n">
        <v>60000</v>
      </c>
    </row>
    <row r="7">
      <c r="A7" s="13" t="inlineStr">
        <is>
          <t>أجهزة الفريق</t>
        </is>
      </c>
      <c r="B7" s="14" t="n">
        <v>50000</v>
      </c>
      <c r="C7" s="14" t="n">
        <v>35000</v>
      </c>
      <c r="D7" s="14" t="n">
        <v>50000</v>
      </c>
    </row>
    <row r="8">
      <c r="A8" s="15" t="inlineStr">
        <is>
          <t>الإجمالي</t>
        </is>
      </c>
      <c r="B8" s="16">
        <f>SUM(B4:B7)</f>
        <v/>
      </c>
      <c r="C8" s="16">
        <f>SUM(C4:C7)</f>
        <v/>
      </c>
      <c r="D8" s="16">
        <f>SUM(D4:D7)</f>
        <v/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2026-07-20T08:43:25Z</dcterms:created>
  <dcterms:modified xsi:type="dcterms:W3CDTF">2026-07-20T08:43:25Z</dcterms:modified>
</cp:coreProperties>
</file>